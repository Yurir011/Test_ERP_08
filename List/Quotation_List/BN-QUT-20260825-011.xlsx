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811" yWindow="-103" windowWidth="33120" windowHeight="18000" tabRatio="600" firstSheet="0" activeTab="0" autoFilterDateGrouping="1"/>
  </bookViews>
  <sheets>
    <sheet name="플레이앤_견적서" sheetId="1" state="visible" r:id="rId1"/>
  </sheets>
  <definedNames>
    <definedName name="items">OFFSET(#REF!,0,0,MATCH(REPT("z",255),#REF!),1)</definedName>
    <definedName name="valuevx">42.314159</definedName>
    <definedName name="items" localSheetId="0">OFFSET(#REF!,0,0,MATCH(REPT("z",255),#REF!),1)</definedName>
    <definedName name="_xlnm.Print_Area" localSheetId="0">'플레이앤_견적서'!$A$1:$I$34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-&quot;US$&quot;* #,##0.00_ ;_-&quot;US$&quot;* \-#,##0.00\ ;_-&quot;US$&quot;* &quot;-&quot;??_ ;_-@_ "/>
    <numFmt numFmtId="165" formatCode="&quot;₩&quot;#,##0_);[Red]\(&quot;₩&quot;#,##0\)"/>
    <numFmt numFmtId="166" formatCode="_-* #,##0_-;\-* #,##0_-;_-* &quot;-&quot;_-;_-@_-"/>
    <numFmt numFmtId="167" formatCode="_-[$₩-412]* #,##0_-;\-[$₩-412]* #,##0_-;_-[$₩-412]* &quot;-&quot;??_-;_-@_-"/>
    <numFmt numFmtId="168" formatCode="yyyy&quot;년&quot;\ m&quot;월&quot;\ d&quot;일&quot;;@"/>
  </numFmts>
  <fonts count="38">
    <font>
      <name val="Trebuchet MS"/>
      <family val="2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12"/>
      <sz val="10"/>
      <u val="single"/>
    </font>
    <font>
      <name val="돋움"/>
      <charset val="129"/>
      <family val="3"/>
      <sz val="8"/>
    </font>
    <font>
      <name val="Trebuchet MS"/>
      <family val="2"/>
      <sz val="10"/>
    </font>
    <font>
      <name val="맑은 고딕"/>
      <charset val="129"/>
      <family val="3"/>
      <sz val="16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indexed="12"/>
      <sz val="8"/>
      <u val="single"/>
      <scheme val="minor"/>
    </font>
    <font>
      <name val="맑은 고딕"/>
      <charset val="129"/>
      <family val="3"/>
      <sz val="8.5"/>
      <scheme val="minor"/>
    </font>
    <font>
      <name val="맑은 고딕"/>
      <charset val="129"/>
      <family val="3"/>
      <b val="1"/>
      <i val="1"/>
      <sz val="12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3"/>
      <scheme val="minor"/>
    </font>
    <font>
      <name val="맑은 고딕"/>
      <charset val="129"/>
      <family val="3"/>
      <color theme="1" tint="0.499984740745262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1"/>
      <scheme val="minor"/>
    </font>
  </fonts>
  <fills count="23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55"/>
      </right>
      <top style="thin">
        <color theme="1"/>
      </top>
      <bottom/>
      <diagonal/>
    </border>
    <border>
      <left/>
      <right/>
      <top style="hair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/>
      <right/>
      <top style="thin">
        <color theme="0"/>
      </top>
      <bottom/>
      <diagonal/>
    </border>
  </borders>
  <cellStyleXfs count="50">
    <xf numFmtId="0" fontId="23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 applyAlignment="1" applyProtection="1">
      <alignment vertical="top"/>
      <protection locked="0" hidden="0"/>
    </xf>
    <xf numFmtId="0" fontId="21" fillId="0" borderId="0" applyAlignment="1" applyProtection="1">
      <alignment vertical="top"/>
      <protection locked="0" hidden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 applyAlignment="1">
      <alignment vertical="center"/>
    </xf>
  </cellStyleXfs>
  <cellXfs count="114">
    <xf numFmtId="0" fontId="0" fillId="0" borderId="0" pivotButton="0" quotePrefix="0" xfId="0"/>
    <xf numFmtId="0" fontId="25" fillId="0" borderId="0" pivotButton="0" quotePrefix="0" xfId="0"/>
    <xf numFmtId="0" fontId="28" fillId="0" borderId="0" applyAlignment="1" pivotButton="0" quotePrefix="0" xfId="28">
      <alignment horizontal="left"/>
    </xf>
    <xf numFmtId="0" fontId="30" fillId="0" borderId="0" pivotButton="0" quotePrefix="0" xfId="35"/>
    <xf numFmtId="0" fontId="27" fillId="0" borderId="18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6" fillId="21" borderId="21" applyAlignment="1" pivotButton="0" quotePrefix="0" xfId="0">
      <alignment horizontal="center" vertical="center"/>
    </xf>
    <xf numFmtId="0" fontId="26" fillId="21" borderId="21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5" fillId="0" borderId="29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8" fillId="0" borderId="31" applyAlignment="1" pivotButton="0" quotePrefix="0" xfId="0">
      <alignment horizontal="left" vertical="center" wrapText="1"/>
    </xf>
    <xf numFmtId="0" fontId="28" fillId="0" borderId="32" applyAlignment="1" pivotButton="0" quotePrefix="0" xfId="0">
      <alignment horizontal="left" vertical="center"/>
    </xf>
    <xf numFmtId="0" fontId="28" fillId="0" borderId="33" applyAlignment="1" pivotButton="0" quotePrefix="0" xfId="0">
      <alignment horizontal="left" vertical="center"/>
    </xf>
    <xf numFmtId="0" fontId="25" fillId="0" borderId="34" applyAlignment="1" pivotButton="0" quotePrefix="0" xfId="0">
      <alignment horizontal="center" vertical="center"/>
    </xf>
    <xf numFmtId="0" fontId="25" fillId="0" borderId="36" pivotButton="0" quotePrefix="0" xfId="0"/>
    <xf numFmtId="0" fontId="25" fillId="0" borderId="24" applyAlignment="1" pivotButton="0" quotePrefix="0" xfId="0">
      <alignment vertical="center"/>
    </xf>
    <xf numFmtId="0" fontId="25" fillId="0" borderId="23" pivotButton="0" quotePrefix="0" xfId="0"/>
    <xf numFmtId="0" fontId="25" fillId="0" borderId="24" pivotButton="0" quotePrefix="0" xfId="0"/>
    <xf numFmtId="0" fontId="25" fillId="0" borderId="24" applyAlignment="1" pivotButton="0" quotePrefix="0" xfId="0">
      <alignment horizontal="right"/>
    </xf>
    <xf numFmtId="10" fontId="26" fillId="21" borderId="49" applyAlignment="1" pivotButton="0" quotePrefix="0" xfId="0">
      <alignment horizontal="center" vertical="center"/>
    </xf>
    <xf numFmtId="0" fontId="26" fillId="21" borderId="50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left" vertical="center"/>
    </xf>
    <xf numFmtId="0" fontId="25" fillId="0" borderId="34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  <xf numFmtId="0" fontId="25" fillId="0" borderId="51" pivotButton="0" quotePrefix="0" xfId="47"/>
    <xf numFmtId="0" fontId="27" fillId="0" borderId="51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  <xf numFmtId="0" fontId="25" fillId="0" borderId="57" applyAlignment="1" pivotButton="0" quotePrefix="0" xfId="47">
      <alignment horizontal="center"/>
    </xf>
    <xf numFmtId="0" fontId="25" fillId="0" borderId="58" applyAlignment="1" pivotButton="0" quotePrefix="0" xfId="47">
      <alignment horizontal="center"/>
    </xf>
    <xf numFmtId="0" fontId="25" fillId="0" borderId="58" applyAlignment="1" pivotButton="0" quotePrefix="0" xfId="47">
      <alignment horizontal="center" vertical="center"/>
    </xf>
    <xf numFmtId="0" fontId="25" fillId="0" borderId="58" pivotButton="0" quotePrefix="0" xfId="47"/>
    <xf numFmtId="0" fontId="34" fillId="0" borderId="23" pivotButton="0" quotePrefix="0" xfId="0"/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5" fillId="0" borderId="41" applyAlignment="1" pivotButton="0" quotePrefix="0" xfId="0">
      <alignment horizontal="left" vertical="center"/>
    </xf>
    <xf numFmtId="0" fontId="25" fillId="0" borderId="11" applyAlignment="1" pivotButton="0" quotePrefix="0" xfId="0">
      <alignment horizontal="left" vertical="center"/>
    </xf>
    <xf numFmtId="0" fontId="27" fillId="20" borderId="15" applyAlignment="1" pivotButton="0" quotePrefix="0" xfId="0">
      <alignment horizontal="left" vertical="center"/>
    </xf>
    <xf numFmtId="0" fontId="27" fillId="20" borderId="22" applyAlignment="1" pivotButton="0" quotePrefix="0" xfId="0">
      <alignment horizontal="left" vertical="center"/>
    </xf>
    <xf numFmtId="0" fontId="25" fillId="0" borderId="17" applyAlignment="1" pivotButton="0" quotePrefix="0" xfId="0">
      <alignment horizontal="left"/>
    </xf>
    <xf numFmtId="0" fontId="25" fillId="0" borderId="46" applyAlignment="1" pivotButton="0" quotePrefix="0" xfId="0">
      <alignment horizontal="left"/>
    </xf>
    <xf numFmtId="0" fontId="25" fillId="0" borderId="48" applyAlignment="1" pivotButton="0" quotePrefix="0" xfId="0">
      <alignment horizontal="left"/>
    </xf>
    <xf numFmtId="0" fontId="0" fillId="0" borderId="16" pivotButton="0" quotePrefix="0" xfId="0"/>
    <xf numFmtId="0" fontId="0" fillId="0" borderId="48" pivotButton="0" quotePrefix="0" xfId="0"/>
    <xf numFmtId="166" fontId="28" fillId="0" borderId="63" applyAlignment="1" pivotButton="0" quotePrefix="0" xfId="49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5" fillId="0" borderId="64" applyAlignment="1" pivotButton="0" quotePrefix="0" xfId="0">
      <alignment horizontal="center" vertical="center"/>
    </xf>
    <xf numFmtId="0" fontId="0" fillId="0" borderId="64" pivotButton="0" quotePrefix="0" xfId="0"/>
    <xf numFmtId="0" fontId="25" fillId="0" borderId="0" pivotButton="0" quotePrefix="0" xfId="0"/>
    <xf numFmtId="0" fontId="0" fillId="0" borderId="24" pivotButton="0" quotePrefix="0" xfId="0"/>
    <xf numFmtId="0" fontId="27" fillId="22" borderId="5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0" fontId="36" fillId="22" borderId="65" applyAlignment="1" pivotButton="0" quotePrefix="0" xfId="0">
      <alignment horizontal="center" vertical="center"/>
    </xf>
    <xf numFmtId="0" fontId="37" fillId="0" borderId="23" applyAlignment="1" pivotButton="0" quotePrefix="0" xfId="0">
      <alignment horizontal="left" vertical="center"/>
    </xf>
    <xf numFmtId="0" fontId="25" fillId="0" borderId="4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40" pivotButton="0" quotePrefix="0" xfId="0"/>
    <xf numFmtId="0" fontId="28" fillId="0" borderId="30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0" pivotButton="0" quotePrefix="0" xfId="0"/>
    <xf numFmtId="0" fontId="26" fillId="21" borderId="23" applyAlignment="1" pivotButton="0" quotePrefix="0" xfId="0">
      <alignment vertical="center"/>
    </xf>
    <xf numFmtId="0" fontId="31" fillId="0" borderId="47" pivotButton="0" quotePrefix="0" xfId="47"/>
    <xf numFmtId="0" fontId="28" fillId="0" borderId="29" applyAlignment="1" pivotButton="0" quotePrefix="0" xfId="0">
      <alignment horizontal="left" vertical="center" wrapText="1"/>
    </xf>
    <xf numFmtId="167" fontId="27" fillId="0" borderId="56" applyAlignment="1" pivotButton="0" quotePrefix="0" xfId="47">
      <alignment horizontal="center" vertical="center"/>
    </xf>
    <xf numFmtId="0" fontId="33" fillId="0" borderId="38" applyAlignment="1" pivotButton="0" quotePrefix="0" xfId="0">
      <alignment horizontal="right"/>
    </xf>
    <xf numFmtId="0" fontId="0" fillId="0" borderId="37" pivotButton="0" quotePrefix="0" xfId="0"/>
    <xf numFmtId="0" fontId="0" fillId="0" borderId="38" pivotButton="0" quotePrefix="0" xfId="0"/>
    <xf numFmtId="0" fontId="25" fillId="0" borderId="43" applyAlignment="1" pivotButton="0" quotePrefix="0" xfId="0">
      <alignment horizontal="left" vertical="center"/>
    </xf>
    <xf numFmtId="0" fontId="0" fillId="0" borderId="12" pivotButton="0" quotePrefix="0" xfId="0"/>
    <xf numFmtId="0" fontId="25" fillId="0" borderId="46" applyAlignment="1" pivotButton="0" quotePrefix="0" xfId="0">
      <alignment horizontal="left"/>
    </xf>
    <xf numFmtId="0" fontId="0" fillId="0" borderId="17" pivotButton="0" quotePrefix="0" xfId="0"/>
    <xf numFmtId="0" fontId="0" fillId="0" borderId="46" pivotButton="0" quotePrefix="0" xfId="0"/>
    <xf numFmtId="0" fontId="25" fillId="0" borderId="42" applyAlignment="1" pivotButton="0" quotePrefix="0" xfId="0">
      <alignment horizontal="left"/>
    </xf>
    <xf numFmtId="0" fontId="0" fillId="0" borderId="18" pivotButton="0" quotePrefix="0" xfId="0"/>
    <xf numFmtId="0" fontId="0" fillId="0" borderId="42" pivotButton="0" quotePrefix="0" xfId="0"/>
    <xf numFmtId="0" fontId="28" fillId="0" borderId="63" applyAlignment="1" pivotButton="0" quotePrefix="0" xfId="0">
      <alignment horizontal="left" vertical="center" wrapText="1"/>
    </xf>
    <xf numFmtId="0" fontId="25" fillId="0" borderId="45" applyAlignment="1" pivotButton="0" quotePrefix="0" xfId="47">
      <alignment vertical="center"/>
    </xf>
    <xf numFmtId="0" fontId="0" fillId="0" borderId="15" pivotButton="0" quotePrefix="0" xfId="0"/>
    <xf numFmtId="0" fontId="25" fillId="0" borderId="41" applyAlignment="1" pivotButton="0" quotePrefix="0" xfId="0">
      <alignment horizontal="left" vertical="center"/>
    </xf>
    <xf numFmtId="0" fontId="0" fillId="0" borderId="11" pivotButton="0" quotePrefix="0" xfId="0"/>
    <xf numFmtId="0" fontId="26" fillId="21" borderId="24" pivotButton="0" quotePrefix="0" xfId="0"/>
    <xf numFmtId="0" fontId="24" fillId="0" borderId="35" applyAlignment="1" pivotButton="0" quotePrefix="0" xfId="0">
      <alignment horizontal="left"/>
    </xf>
    <xf numFmtId="0" fontId="0" fillId="0" borderId="36" pivotButton="0" quotePrefix="0" xfId="0"/>
    <xf numFmtId="0" fontId="25" fillId="0" borderId="24" applyAlignment="1" pivotButton="0" quotePrefix="0" xfId="0">
      <alignment horizontal="center" vertical="top"/>
    </xf>
    <xf numFmtId="0" fontId="27" fillId="0" borderId="56" applyAlignment="1" pivotButton="0" quotePrefix="0" xfId="47">
      <alignment horizontal="center" vertical="center"/>
    </xf>
    <xf numFmtId="0" fontId="25" fillId="21" borderId="6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25" fillId="0" borderId="56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53" pivotButton="0" quotePrefix="0" xfId="0"/>
    <xf numFmtId="168" fontId="25" fillId="0" borderId="39" applyAlignment="1" pivotButton="0" quotePrefix="0" xfId="0">
      <alignment horizontal="left" vertical="center"/>
    </xf>
    <xf numFmtId="0" fontId="0" fillId="0" borderId="39" pivotButton="0" quotePrefix="0" xfId="0"/>
    <xf numFmtId="10" fontId="26" fillId="21" borderId="2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25" fillId="0" borderId="44" applyAlignment="1" pivotButton="0" quotePrefix="0" xfId="0">
      <alignment horizontal="left" vertical="center"/>
    </xf>
    <xf numFmtId="0" fontId="0" fillId="0" borderId="13" pivotButton="0" quotePrefix="0" xfId="0"/>
    <xf numFmtId="0" fontId="26" fillId="21" borderId="23" applyAlignment="1" pivotButton="0" quotePrefix="0" xfId="0">
      <alignment horizontal="left" vertical="center"/>
    </xf>
    <xf numFmtId="168" fontId="25" fillId="0" borderId="39" applyAlignment="1" pivotButton="0" quotePrefix="0" xfId="0">
      <alignment horizontal="left" vertical="center"/>
    </xf>
    <xf numFmtId="166" fontId="28" fillId="0" borderId="63" applyAlignment="1" pivotButton="0" quotePrefix="0" xfId="49">
      <alignment horizontal="left" vertical="center" wrapText="1"/>
    </xf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167" fontId="27" fillId="0" borderId="56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</cellXfs>
  <cellStyles count="50">
    <cellStyle name="표준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쉼표" xfId="28" builtinId="3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하이퍼링크" xfId="35" builtinId="8"/>
    <cellStyle name="Hyperlink_blank_1" xfId="36"/>
    <cellStyle name="Input" xfId="37"/>
    <cellStyle name="Linked Cell" xfId="38"/>
    <cellStyle name="Neutral" xfId="39"/>
    <cellStyle name="Normal 2" xfId="40"/>
    <cellStyle name="Normal_blank" xfId="41"/>
    <cellStyle name="Note" xfId="42"/>
    <cellStyle name="Output" xfId="43"/>
    <cellStyle name="Title" xfId="44"/>
    <cellStyle name="Total" xfId="45"/>
    <cellStyle name="Warning Text" xfId="46"/>
    <cellStyle name="표준 2" xfId="47"/>
    <cellStyle name="쉼표 2" xfId="48"/>
    <cellStyle name="쉼표 [0]" xfId="4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69200</colOff>
      <row>0</row>
      <rowOff>280864</rowOff>
    </from>
    <to>
      <col>2</col>
      <colOff>436323</colOff>
      <row>0</row>
      <rowOff>879230</rowOff>
    </to>
    <pic>
      <nvPicPr>
        <cNvPr id="3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9200" y="280864"/>
          <a:ext cx="2296546" cy="59836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826315</colOff>
      <row>2</row>
      <rowOff>101764</rowOff>
    </from>
    <to>
      <col>3</col>
      <colOff>386699</colOff>
      <row>4</row>
      <rowOff>146539</rowOff>
    </to>
    <pic>
      <nvPicPr>
        <cNvPr id="5" name="그림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755738" y="1595642"/>
          <a:ext cx="606506" cy="60650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tabSelected="1" zoomScale="156" zoomScaleNormal="156" workbookViewId="0">
      <selection activeCell="M7" sqref="M7"/>
    </sheetView>
  </sheetViews>
  <sheetFormatPr baseColWidth="8" defaultColWidth="9.08203125" defaultRowHeight="15"/>
  <cols>
    <col width="19" customWidth="1" style="53" min="1" max="1"/>
    <col width="11.4140625" customWidth="1" style="53" min="2" max="2"/>
    <col width="16.5" customWidth="1" style="53" min="3" max="3"/>
    <col width="7" customWidth="1" style="53" min="4" max="4"/>
    <col width="2.6640625" customWidth="1" style="53" min="5" max="5"/>
    <col width="13.1640625" customWidth="1" style="53" min="6" max="6"/>
    <col width="9.4140625" customWidth="1" style="53" min="7" max="7"/>
    <col width="13.9140625" customWidth="1" style="53" min="8" max="8"/>
    <col width="15.9140625" customWidth="1" style="53" min="9" max="9"/>
    <col width="9.08203125" customWidth="1" style="53" min="10" max="11"/>
    <col width="9.08203125" customWidth="1" style="53" min="12" max="16384"/>
  </cols>
  <sheetData>
    <row r="1" ht="95.5" customHeight="1">
      <c r="A1" s="87" t="n"/>
      <c r="B1" s="88" t="n"/>
      <c r="C1" s="88" t="n"/>
      <c r="D1" s="88" t="n"/>
      <c r="E1" s="16" t="n"/>
      <c r="F1" s="70" t="inlineStr">
        <is>
          <t>견적서 Quotation</t>
        </is>
      </c>
      <c r="G1" s="71" t="n"/>
      <c r="H1" s="71" t="n"/>
      <c r="I1" s="72" t="n"/>
    </row>
    <row r="2" ht="22" customHeight="1">
      <c r="A2" s="106" t="inlineStr">
        <is>
          <t>공급자 : 주식회사 벤치소프트    대표: 정혜란</t>
        </is>
      </c>
      <c r="F2" s="41" t="inlineStr">
        <is>
          <t>DATE:</t>
        </is>
      </c>
      <c r="G2" s="107" t="inlineStr">
        <is>
          <t>2026-08-25</t>
        </is>
      </c>
      <c r="H2" s="83" t="n"/>
      <c r="I2" s="100" t="n"/>
      <c r="K2" s="2" t="n"/>
    </row>
    <row r="3" ht="22" customHeight="1">
      <c r="A3" s="59" t="inlineStr">
        <is>
          <t xml:space="preserve">등록번호 : 122-86-39814     </t>
        </is>
      </c>
      <c r="D3" s="37" t="n"/>
      <c r="F3" s="42" t="inlineStr">
        <is>
          <t xml:space="preserve">견적번호 </t>
        </is>
      </c>
      <c r="G3" s="60" t="inlineStr">
        <is>
          <t>BN-QUT-20260825-011</t>
        </is>
      </c>
      <c r="H3" s="61" t="n"/>
      <c r="I3" s="62" t="n"/>
      <c r="K3" s="3" t="n"/>
    </row>
    <row r="4" ht="22" customHeight="1">
      <c r="A4" s="84" t="inlineStr">
        <is>
          <t>주소 : 인천시 부평구 주부토로 236(갈산동)</t>
        </is>
      </c>
      <c r="B4" s="85" t="n"/>
      <c r="C4" s="85" t="n"/>
      <c r="D4" s="38" t="n"/>
      <c r="F4" s="4" t="inlineStr">
        <is>
          <t>※ REMARKS</t>
        </is>
      </c>
      <c r="G4" s="78" t="n"/>
      <c r="H4" s="79" t="n"/>
      <c r="I4" s="80" t="n"/>
    </row>
    <row r="5" ht="22" customHeight="1">
      <c r="A5" s="73" t="inlineStr">
        <is>
          <t xml:space="preserve">        인천테크노밸리 U1센터 A동 S907호.</t>
        </is>
      </c>
      <c r="B5" s="74" t="n"/>
      <c r="C5" s="74" t="n"/>
      <c r="D5" s="38" t="n"/>
      <c r="F5" s="5" t="n"/>
      <c r="G5" s="5" t="n"/>
      <c r="H5" s="5" t="n"/>
      <c r="I5" s="17" t="n"/>
    </row>
    <row r="6" ht="22" customHeight="1">
      <c r="A6" s="104" t="inlineStr">
        <is>
          <t>종목 : 제조업 / 도매 및 소매업 / 소프트웨어개발</t>
        </is>
      </c>
      <c r="B6" s="105" t="n"/>
      <c r="C6" s="105" t="n"/>
      <c r="D6" s="38" t="n"/>
      <c r="F6" s="5" t="n"/>
      <c r="G6" s="5" t="n"/>
      <c r="H6" s="5" t="n"/>
      <c r="I6" s="17" t="n"/>
    </row>
    <row r="7" ht="22" customHeight="1">
      <c r="A7" s="104" t="inlineStr">
        <is>
          <t>Phone : +82-70-7841-0310</t>
        </is>
      </c>
      <c r="B7" s="105" t="n"/>
      <c r="C7" s="105" t="n"/>
      <c r="D7" s="38" t="n"/>
      <c r="F7" s="5" t="n"/>
      <c r="G7" s="5" t="n"/>
      <c r="H7" s="5" t="n"/>
      <c r="I7" s="17" t="n"/>
    </row>
    <row r="8" ht="22" customHeight="1">
      <c r="A8" s="84" t="inlineStr">
        <is>
          <t>Email  : info@bench-soft.com</t>
        </is>
      </c>
      <c r="B8" s="40" t="n"/>
      <c r="C8" s="40" t="n"/>
      <c r="D8" s="38" t="n"/>
      <c r="I8" s="19" t="n"/>
    </row>
    <row r="9" ht="5.05" customHeight="1">
      <c r="A9" s="18" t="n"/>
      <c r="I9" s="19" t="n"/>
    </row>
    <row r="10" ht="22" customHeight="1">
      <c r="A10" s="66" t="inlineStr">
        <is>
          <t>고객</t>
        </is>
      </c>
      <c r="E10" s="6" t="n"/>
      <c r="F10" s="86" t="n"/>
      <c r="I10" s="54" t="n"/>
    </row>
    <row r="11" ht="22" customHeight="1">
      <c r="A11" s="82" t="inlineStr">
        <is>
          <t>DispatchEx테스트</t>
        </is>
      </c>
      <c r="B11" s="83" t="n"/>
      <c r="C11" s="83" t="n"/>
      <c r="D11" s="83" t="n"/>
      <c r="F11" s="75" t="n"/>
      <c r="G11" s="76" t="n"/>
      <c r="H11" s="76" t="n"/>
      <c r="I11" s="77" t="n"/>
    </row>
    <row r="12" ht="22" customHeight="1">
      <c r="A12" s="82" t="inlineStr"/>
      <c r="B12" s="83" t="n"/>
      <c r="C12" s="83" t="n"/>
      <c r="D12" s="83" t="n"/>
      <c r="F12" s="43" t="n"/>
      <c r="G12" s="43" t="n"/>
      <c r="H12" s="43" t="n"/>
      <c r="I12" s="75" t="n"/>
    </row>
    <row r="13" ht="22" customHeight="1">
      <c r="A13" s="67" t="n"/>
      <c r="B13" s="46" t="n"/>
      <c r="C13" s="46" t="n"/>
      <c r="D13" s="46" t="n"/>
      <c r="F13" s="45" t="n"/>
      <c r="G13" s="46" t="n"/>
      <c r="H13" s="46" t="n"/>
      <c r="I13" s="47" t="n"/>
    </row>
    <row r="14" ht="33.55" customHeight="1">
      <c r="A14" s="33" t="inlineStr">
        <is>
          <t>아래와 같이 견적합니다.</t>
        </is>
      </c>
      <c r="I14" s="20" t="n"/>
    </row>
    <row r="15">
      <c r="A15" s="21" t="inlineStr">
        <is>
          <t>ITEM #</t>
        </is>
      </c>
      <c r="B15" s="101" t="inlineStr">
        <is>
          <t>DESCRIPTION OF GOODS</t>
        </is>
      </c>
      <c r="C15" s="102" t="n"/>
      <c r="D15" s="102" t="n"/>
      <c r="E15" s="102" t="n"/>
      <c r="F15" s="103" t="n"/>
      <c r="G15" s="7" t="inlineStr">
        <is>
          <t>QTY</t>
        </is>
      </c>
      <c r="H15" s="8" t="inlineStr">
        <is>
          <t>UNIT PRICE</t>
        </is>
      </c>
      <c r="I15" s="22" t="inlineStr">
        <is>
          <t>AMOUNT</t>
        </is>
      </c>
    </row>
    <row r="16" ht="30" customHeight="1">
      <c r="A16" s="23" t="inlineStr">
        <is>
          <t>X</t>
        </is>
      </c>
      <c r="B16" s="108" t="inlineStr">
        <is>
          <t>Y</t>
        </is>
      </c>
      <c r="C16" s="49" t="n"/>
      <c r="D16" s="49" t="n"/>
      <c r="E16" s="49" t="n"/>
      <c r="F16" s="50" t="n"/>
      <c r="G16" s="9" t="n">
        <v>1</v>
      </c>
      <c r="H16" s="109" t="n">
        <v>100</v>
      </c>
      <c r="I16" s="110">
        <f>G16*H16</f>
        <v/>
      </c>
    </row>
    <row r="17" ht="30" customHeight="1">
      <c r="A17" s="24" t="n"/>
      <c r="B17" s="12" t="n"/>
      <c r="C17" s="13" t="n"/>
      <c r="D17" s="13" t="n"/>
      <c r="E17" s="13" t="n"/>
      <c r="F17" s="14" t="n"/>
      <c r="G17" s="15" t="n"/>
      <c r="H17" s="111" t="n"/>
      <c r="I17" s="110">
        <f>G17*H17</f>
        <v/>
      </c>
    </row>
    <row r="18" ht="20.05" customHeight="1">
      <c r="A18" s="58" t="inlineStr">
        <is>
          <t>이  하  여  백</t>
        </is>
      </c>
      <c r="I18" s="54" t="n"/>
    </row>
    <row r="19" ht="30" customHeight="1">
      <c r="A19" s="24" t="n"/>
      <c r="B19" s="12" t="n"/>
      <c r="C19" s="13" t="n"/>
      <c r="D19" s="13" t="n"/>
      <c r="E19" s="13" t="n"/>
      <c r="F19" s="14" t="n"/>
      <c r="G19" s="15" t="n"/>
      <c r="H19" s="111" t="n"/>
      <c r="I19" s="110" t="n"/>
    </row>
    <row r="20" ht="30" customHeight="1">
      <c r="A20" s="24" t="n"/>
      <c r="B20" s="12" t="n"/>
      <c r="C20" s="13" t="n"/>
      <c r="D20" s="13" t="n"/>
      <c r="E20" s="13" t="n"/>
      <c r="F20" s="14" t="n"/>
      <c r="G20" s="15" t="n"/>
      <c r="H20" s="111" t="n"/>
      <c r="I20" s="110" t="n"/>
    </row>
    <row r="21" ht="30" customHeight="1">
      <c r="A21" s="25" t="n"/>
      <c r="B21" s="68" t="n"/>
      <c r="C21" s="64" t="n"/>
      <c r="D21" s="64" t="n"/>
      <c r="E21" s="64" t="n"/>
      <c r="F21" s="65" t="n"/>
      <c r="G21" s="10" t="n"/>
      <c r="H21" s="111" t="n"/>
      <c r="I21" s="110" t="n"/>
    </row>
    <row r="22" ht="30" customHeight="1">
      <c r="A22" s="25" t="n"/>
      <c r="B22" s="63" t="n"/>
      <c r="C22" s="64" t="n"/>
      <c r="D22" s="64" t="n"/>
      <c r="E22" s="64" t="n"/>
      <c r="F22" s="65" t="n"/>
      <c r="G22" s="10" t="n"/>
      <c r="H22" s="111" t="n"/>
      <c r="I22" s="110" t="n"/>
    </row>
    <row r="23" ht="30" customHeight="1">
      <c r="A23" s="23" t="n"/>
      <c r="B23" s="81" t="n"/>
      <c r="C23" s="49" t="n"/>
      <c r="D23" s="49" t="n"/>
      <c r="E23" s="49" t="n"/>
      <c r="F23" s="50" t="n"/>
      <c r="G23" s="9" t="n"/>
      <c r="H23" s="111" t="n"/>
      <c r="I23" s="110" t="n"/>
    </row>
    <row r="24" ht="30" customHeight="1">
      <c r="A24" s="25" t="n"/>
      <c r="B24" s="68" t="n"/>
      <c r="C24" s="64" t="n"/>
      <c r="D24" s="64" t="n"/>
      <c r="E24" s="64" t="n"/>
      <c r="F24" s="65" t="n"/>
      <c r="G24" s="10" t="n"/>
      <c r="H24" s="111" t="n"/>
      <c r="I24" s="110" t="n"/>
    </row>
    <row r="25" ht="19.5" customHeight="1">
      <c r="A25" s="90" t="inlineStr">
        <is>
          <t>TOTAL</t>
        </is>
      </c>
      <c r="B25" s="56" t="n"/>
      <c r="C25" s="56" t="n"/>
      <c r="D25" s="56" t="n"/>
      <c r="E25" s="56" t="n"/>
      <c r="F25" s="56" t="n"/>
      <c r="G25" s="57" t="n"/>
      <c r="H25" s="112">
        <f>SUM(I16:I24)</f>
        <v/>
      </c>
      <c r="I25" s="57" t="n"/>
    </row>
    <row r="26" ht="15" customHeight="1">
      <c r="A26" s="29" t="n"/>
      <c r="B26" s="30" t="n"/>
      <c r="C26" s="30" t="n"/>
      <c r="D26" s="31" t="n"/>
      <c r="E26" s="31" t="n"/>
      <c r="F26" s="32" t="n"/>
      <c r="G26" s="27" t="n"/>
      <c r="H26" s="26" t="n"/>
      <c r="I26" s="113" t="n"/>
    </row>
    <row r="27" ht="15" customHeight="1">
      <c r="A27" s="55" t="inlineStr">
        <is>
          <t>특이사항</t>
        </is>
      </c>
      <c r="B27" s="56" t="n"/>
      <c r="C27" s="56" t="n"/>
      <c r="D27" s="56" t="n"/>
      <c r="E27" s="56" t="n"/>
      <c r="F27" s="57" t="n"/>
      <c r="H27" s="51" t="inlineStr">
        <is>
          <t>서명하세요</t>
        </is>
      </c>
      <c r="I27" s="52" t="n"/>
    </row>
    <row r="28" ht="15" customHeight="1">
      <c r="A28" s="94" t="inlineStr">
        <is>
          <t>1. 본 견적의 유효기간은 발행일로 부터 30일 임.
2. 내수거래는 부가세 별도 임.</t>
        </is>
      </c>
      <c r="B28" s="88" t="n"/>
      <c r="C28" s="88" t="n"/>
      <c r="D28" s="88" t="n"/>
      <c r="E28" s="88" t="n"/>
      <c r="F28" s="95" t="n"/>
      <c r="I28" s="54" t="n"/>
    </row>
    <row r="29" ht="15" customHeight="1">
      <c r="A29" s="96" t="n"/>
      <c r="F29" s="97" t="n"/>
      <c r="I29" s="54" t="n"/>
    </row>
    <row r="30" ht="15" customHeight="1">
      <c r="A30" s="96" t="n"/>
      <c r="F30" s="97" t="n"/>
      <c r="I30" s="54" t="n"/>
    </row>
    <row r="31" ht="15" customHeight="1">
      <c r="A31" s="96" t="n"/>
      <c r="F31" s="97" t="n"/>
      <c r="I31" s="54" t="n"/>
    </row>
    <row r="32" ht="15.75" customHeight="1">
      <c r="A32" s="98" t="n"/>
      <c r="B32" s="92" t="n"/>
      <c r="C32" s="92" t="n"/>
      <c r="D32" s="92" t="n"/>
      <c r="E32" s="92" t="n"/>
      <c r="F32" s="93" t="n"/>
      <c r="H32" s="89" t="inlineStr">
        <is>
          <t>직급 Sales Director/Manager</t>
        </is>
      </c>
      <c r="I32" s="54" t="n"/>
    </row>
    <row r="33" ht="11.25" customHeight="1">
      <c r="A33" s="18" t="n"/>
      <c r="I33" s="19" t="n"/>
    </row>
    <row r="34" ht="6" customHeight="1">
      <c r="A34" s="91" t="n"/>
      <c r="B34" s="92" t="n"/>
      <c r="C34" s="92" t="n"/>
      <c r="D34" s="92" t="n"/>
      <c r="E34" s="92" t="n"/>
      <c r="F34" s="92" t="n"/>
      <c r="G34" s="92" t="n"/>
      <c r="H34" s="92" t="n"/>
      <c r="I34" s="93" t="n"/>
    </row>
    <row r="35" ht="1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</sheetData>
  <mergeCells count="32">
    <mergeCell ref="F13:I13"/>
    <mergeCell ref="B16:F16"/>
    <mergeCell ref="H27:I31"/>
    <mergeCell ref="A27:F27"/>
    <mergeCell ref="A18:I18"/>
    <mergeCell ref="A3:C3"/>
    <mergeCell ref="G3:I3"/>
    <mergeCell ref="B22:F22"/>
    <mergeCell ref="A10:D10"/>
    <mergeCell ref="A13:D13"/>
    <mergeCell ref="B21:F21"/>
    <mergeCell ref="H25:I25"/>
    <mergeCell ref="F1:I1"/>
    <mergeCell ref="A5:C5"/>
    <mergeCell ref="F11:I11"/>
    <mergeCell ref="G4:I4"/>
    <mergeCell ref="B23:F23"/>
    <mergeCell ref="A11:D11"/>
    <mergeCell ref="A4:C4"/>
    <mergeCell ref="F10:I10"/>
    <mergeCell ref="A1:D1"/>
    <mergeCell ref="H32:I32"/>
    <mergeCell ref="A25:G25"/>
    <mergeCell ref="A34:I34"/>
    <mergeCell ref="A28:F32"/>
    <mergeCell ref="G2:I2"/>
    <mergeCell ref="B24:F24"/>
    <mergeCell ref="B15:F15"/>
    <mergeCell ref="A12:D12"/>
    <mergeCell ref="A6:C6"/>
    <mergeCell ref="A2:D2"/>
    <mergeCell ref="A7:C7"/>
  </mergeCells>
  <printOptions horizontalCentered="1"/>
  <pageMargins left="0.5" right="0.47" top="0.5" bottom="0.5" header="0.25" footer="0.25"/>
  <pageSetup orientation="portrait" paperSize="9" scale="9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dantekim@naver.com</dc:creator>
  <dc:title>proforma invoice</dc:title>
  <dc:description>(c) 2008-2011 Vertex42 LLC. All Rights Reserved.</dc:description>
  <dcterms:created xsi:type="dcterms:W3CDTF">2009-04-10T15:20:03Z</dcterms:created>
  <dcterms:modified xsi:type="dcterms:W3CDTF">2026-08-25T07:44:11Z</dcterms:modified>
  <cp:lastModifiedBy>Yurir011</cp:lastModifiedBy>
  <cp:lastPrinted>2022-04-25T07:03:17Z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2008-2011 Vertex42 LLC</vt:lpwstr>
  </property>
  <property name="Version" fmtid="{D5CDD505-2E9C-101B-9397-08002B2CF9AE}" pid="3">
    <vt:lpwstr>1.1.1</vt:lpwstr>
  </property>
</Properties>
</file>