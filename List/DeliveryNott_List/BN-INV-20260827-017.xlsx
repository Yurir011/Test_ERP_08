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811" yWindow="-103" windowWidth="33120" windowHeight="18000" tabRatio="600" firstSheet="0" activeTab="0" autoFilterDateGrouping="1"/>
  </bookViews>
  <sheets>
    <sheet name="플레이앤_견적서" sheetId="1" state="visible" r:id="rId1"/>
  </sheets>
  <definedNames>
    <definedName name="items">OFFSET(#REF!,0,0,MATCH(REPT("z",255),#REF!),1)</definedName>
    <definedName name="valuevx">42.314159</definedName>
    <definedName name="items" localSheetId="0">OFFSET(#REF!,0,0,MATCH(REPT("z",255),#REF!),1)</definedName>
    <definedName name="_xlnm.Print_Area" localSheetId="0">'플레이앤_견적서'!$A$1:$I$33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-&quot;US$&quot;* #,##0.00_ ;_-&quot;US$&quot;* \-#,##0.00\ ;_-&quot;US$&quot;* &quot;-&quot;??_ ;_-@_ "/>
    <numFmt numFmtId="165" formatCode="&quot;₩&quot;#,##0_);[Red]\(&quot;₩&quot;#,##0\)"/>
    <numFmt numFmtId="166" formatCode="_-* #,##0_-;\-* #,##0_-;_-* &quot;-&quot;_-;_-@_-"/>
    <numFmt numFmtId="167" formatCode="yyyy&quot;년&quot;\ m&quot;월&quot;\ d&quot;일&quot;;@"/>
    <numFmt numFmtId="168" formatCode="_-[$₩-412]* #,##0_-;\-[$₩-412]* #,##0_-;_-[$₩-412]* &quot;-&quot;??_-;_-@_-"/>
  </numFmts>
  <fonts count="41">
    <font>
      <name val="Trebuchet MS"/>
      <family val="2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Trebuchet MS"/>
      <family val="2"/>
      <sz val="8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Arial"/>
      <family val="2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12"/>
      <sz val="10"/>
      <u val="single"/>
    </font>
    <font>
      <name val="돋움"/>
      <charset val="129"/>
      <family val="3"/>
      <sz val="8"/>
    </font>
    <font>
      <name val="Trebuchet MS"/>
      <family val="2"/>
      <sz val="10"/>
    </font>
    <font>
      <name val="Tahoma"/>
      <family val="2"/>
      <color indexed="81"/>
      <sz val="10"/>
    </font>
    <font>
      <name val="Tahoma"/>
      <family val="2"/>
      <b val="1"/>
      <color indexed="81"/>
      <sz val="10"/>
    </font>
    <font>
      <name val="맑은 고딕"/>
      <charset val="129"/>
      <family val="3"/>
      <sz val="16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indexed="12"/>
      <sz val="8"/>
      <u val="single"/>
      <scheme val="minor"/>
    </font>
    <font>
      <name val="맑은 고딕"/>
      <charset val="129"/>
      <family val="3"/>
      <sz val="8.5"/>
      <scheme val="minor"/>
    </font>
    <font>
      <name val="맑은 고딕"/>
      <charset val="129"/>
      <family val="3"/>
      <b val="1"/>
      <i val="1"/>
      <sz val="12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3"/>
      <scheme val="minor"/>
    </font>
    <font>
      <name val="맑은 고딕"/>
      <charset val="129"/>
      <family val="3"/>
      <color theme="1" tint="0.499984740745262"/>
      <sz val="10"/>
      <scheme val="minor"/>
    </font>
    <font>
      <name val="맑은 고딕"/>
      <charset val="129"/>
      <family val="3"/>
      <sz val="11"/>
      <scheme val="minor"/>
    </font>
  </fonts>
  <fills count="23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8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indexed="55"/>
      </left>
      <right/>
      <top style="thin">
        <color theme="1"/>
      </top>
      <bottom style="thin">
        <color indexed="55"/>
      </bottom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/>
      <right/>
      <top style="thin">
        <color theme="0"/>
      </top>
      <bottom/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 style="thin">
        <color indexed="64"/>
      </left>
      <right/>
      <top style="thin">
        <color indexed="55"/>
      </top>
      <bottom style="hair">
        <color indexed="64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55"/>
      </right>
      <top style="thin">
        <color theme="1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hair">
        <color theme="3"/>
      </top>
      <bottom/>
      <diagonal/>
    </border>
  </borders>
  <cellStyleXfs count="50">
    <xf numFmtId="0" fontId="25" fillId="0" borderId="0"/>
    <xf numFmtId="0" fontId="4" fillId="2" borderId="0"/>
    <xf numFmtId="0" fontId="4" fillId="3" borderId="0"/>
    <xf numFmtId="0" fontId="4" fillId="3" borderId="0"/>
    <xf numFmtId="0" fontId="4" fillId="2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7" borderId="0"/>
    <xf numFmtId="0" fontId="4" fillId="6" borderId="0"/>
    <xf numFmtId="0" fontId="4" fillId="4" borderId="0"/>
    <xf numFmtId="0" fontId="4" fillId="5" borderId="0"/>
    <xf numFmtId="0" fontId="5" fillId="8" borderId="0"/>
    <xf numFmtId="0" fontId="5" fillId="9" borderId="0"/>
    <xf numFmtId="0" fontId="5" fillId="9" borderId="0"/>
    <xf numFmtId="0" fontId="5" fillId="8" borderId="0"/>
    <xf numFmtId="0" fontId="5" fillId="10" borderId="0"/>
    <xf numFmtId="0" fontId="5" fillId="11" borderId="0"/>
    <xf numFmtId="0" fontId="5" fillId="10" borderId="0"/>
    <xf numFmtId="0" fontId="5" fillId="12" borderId="0"/>
    <xf numFmtId="0" fontId="5" fillId="9" borderId="0"/>
    <xf numFmtId="0" fontId="5" fillId="13" borderId="0"/>
    <xf numFmtId="0" fontId="5" fillId="14" borderId="0"/>
    <xf numFmtId="0" fontId="5" fillId="15" borderId="0"/>
    <xf numFmtId="0" fontId="6" fillId="16" borderId="0"/>
    <xf numFmtId="0" fontId="7" fillId="17" borderId="1"/>
    <xf numFmtId="0" fontId="8" fillId="18" borderId="2"/>
    <xf numFmtId="43" fontId="1" fillId="0" borderId="0"/>
    <xf numFmtId="0" fontId="10" fillId="0" borderId="0"/>
    <xf numFmtId="0" fontId="11" fillId="19" borderId="0"/>
    <xf numFmtId="0" fontId="12" fillId="0" borderId="3"/>
    <xf numFmtId="0" fontId="13" fillId="0" borderId="4"/>
    <xf numFmtId="0" fontId="14" fillId="0" borderId="5"/>
    <xf numFmtId="0" fontId="14" fillId="0" borderId="0"/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15" fillId="11" borderId="1"/>
    <xf numFmtId="0" fontId="16" fillId="0" borderId="6"/>
    <xf numFmtId="0" fontId="17" fillId="5" borderId="0"/>
    <xf numFmtId="0" fontId="18" fillId="0" borderId="0"/>
    <xf numFmtId="0" fontId="18" fillId="0" borderId="0"/>
    <xf numFmtId="0" fontId="18" fillId="5" borderId="7"/>
    <xf numFmtId="0" fontId="19" fillId="17" borderId="8"/>
    <xf numFmtId="0" fontId="20" fillId="0" borderId="0"/>
    <xf numFmtId="0" fontId="21" fillId="0" borderId="9"/>
    <xf numFmtId="0" fontId="22" fillId="0" borderId="0"/>
    <xf numFmtId="0" fontId="25" fillId="0" borderId="0"/>
    <xf numFmtId="43" fontId="1" fillId="0" borderId="0"/>
    <xf numFmtId="41" fontId="25" fillId="0" borderId="0" applyAlignment="1">
      <alignment vertical="center"/>
    </xf>
  </cellStyleXfs>
  <cellXfs count="164">
    <xf numFmtId="0" fontId="0" fillId="0" borderId="0" pivotButton="0" quotePrefix="0" xfId="0"/>
    <xf numFmtId="0" fontId="29" fillId="0" borderId="0" pivotButton="0" quotePrefix="0" xfId="0"/>
    <xf numFmtId="0" fontId="32" fillId="0" borderId="0" applyAlignment="1" pivotButton="0" quotePrefix="0" xfId="28">
      <alignment horizontal="left"/>
    </xf>
    <xf numFmtId="0" fontId="34" fillId="0" borderId="0" pivotButton="0" quotePrefix="0" xfId="35"/>
    <xf numFmtId="0" fontId="31" fillId="0" borderId="20" pivotButton="0" quotePrefix="0" xfId="0"/>
    <xf numFmtId="0" fontId="29" fillId="0" borderId="0" applyAlignment="1" pivotButton="0" quotePrefix="0" xfId="0">
      <alignment vertical="center"/>
    </xf>
    <xf numFmtId="0" fontId="30" fillId="0" borderId="0" pivotButton="0" quotePrefix="0" xfId="0"/>
    <xf numFmtId="0" fontId="30" fillId="21" borderId="24" applyAlignment="1" pivotButton="0" quotePrefix="0" xfId="0">
      <alignment horizontal="center" vertical="center"/>
    </xf>
    <xf numFmtId="0" fontId="30" fillId="21" borderId="24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34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left" vertical="center" wrapText="1"/>
    </xf>
    <xf numFmtId="0" fontId="32" fillId="0" borderId="38" applyAlignment="1" pivotButton="0" quotePrefix="0" xfId="0">
      <alignment horizontal="left" vertical="center"/>
    </xf>
    <xf numFmtId="0" fontId="32" fillId="0" borderId="39" applyAlignment="1" pivotButton="0" quotePrefix="0" xfId="0">
      <alignment horizontal="left" vertical="center"/>
    </xf>
    <xf numFmtId="0" fontId="29" fillId="0" borderId="40" applyAlignment="1" pivotButton="0" quotePrefix="0" xfId="0">
      <alignment horizontal="center" vertical="center"/>
    </xf>
    <xf numFmtId="0" fontId="29" fillId="0" borderId="42" pivotButton="0" quotePrefix="0" xfId="0"/>
    <xf numFmtId="0" fontId="29" fillId="0" borderId="28" applyAlignment="1" pivotButton="0" quotePrefix="0" xfId="0">
      <alignment vertical="center"/>
    </xf>
    <xf numFmtId="0" fontId="29" fillId="0" borderId="27" pivotButton="0" quotePrefix="0" xfId="0"/>
    <xf numFmtId="0" fontId="29" fillId="0" borderId="28" pivotButton="0" quotePrefix="0" xfId="0"/>
    <xf numFmtId="0" fontId="29" fillId="0" borderId="28" applyAlignment="1" pivotButton="0" quotePrefix="0" xfId="0">
      <alignment horizontal="right"/>
    </xf>
    <xf numFmtId="10" fontId="30" fillId="21" borderId="57" applyAlignment="1" pivotButton="0" quotePrefix="0" xfId="0">
      <alignment horizontal="center" vertical="center"/>
    </xf>
    <xf numFmtId="0" fontId="30" fillId="21" borderId="5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left" vertical="center"/>
    </xf>
    <xf numFmtId="0" fontId="29" fillId="0" borderId="40" applyAlignment="1" pivotButton="0" quotePrefix="0" xfId="0">
      <alignment horizontal="left" vertical="center"/>
    </xf>
    <xf numFmtId="0" fontId="29" fillId="0" borderId="34" applyAlignment="1" pivotButton="0" quotePrefix="0" xfId="0">
      <alignment horizontal="left" vertical="center"/>
    </xf>
    <xf numFmtId="0" fontId="29" fillId="0" borderId="59" pivotButton="0" quotePrefix="0" xfId="47"/>
    <xf numFmtId="0" fontId="31" fillId="0" borderId="59" applyAlignment="1" pivotButton="0" quotePrefix="0" xfId="47">
      <alignment horizontal="center" vertical="center"/>
    </xf>
    <xf numFmtId="164" fontId="31" fillId="0" borderId="60" applyAlignment="1" pivotButton="0" quotePrefix="0" xfId="47">
      <alignment vertical="center"/>
    </xf>
    <xf numFmtId="0" fontId="29" fillId="0" borderId="66" applyAlignment="1" pivotButton="0" quotePrefix="0" xfId="47">
      <alignment horizontal="center"/>
    </xf>
    <xf numFmtId="0" fontId="29" fillId="0" borderId="67" applyAlignment="1" pivotButton="0" quotePrefix="0" xfId="47">
      <alignment horizontal="center"/>
    </xf>
    <xf numFmtId="0" fontId="29" fillId="0" borderId="67" applyAlignment="1" pivotButton="0" quotePrefix="0" xfId="47">
      <alignment horizontal="center" vertical="center"/>
    </xf>
    <xf numFmtId="0" fontId="29" fillId="0" borderId="67" pivotButton="0" quotePrefix="0" xfId="47"/>
    <xf numFmtId="0" fontId="38" fillId="0" borderId="27" pivotButton="0" quotePrefix="0" xfId="0"/>
    <xf numFmtId="165" fontId="29" fillId="0" borderId="29" applyAlignment="1" pivotButton="0" quotePrefix="0" xfId="0">
      <alignment horizontal="right" vertical="center"/>
    </xf>
    <xf numFmtId="165" fontId="29" fillId="0" borderId="29" applyAlignment="1" pivotButton="0" quotePrefix="0" xfId="0">
      <alignment vertical="center"/>
    </xf>
    <xf numFmtId="165" fontId="29" fillId="0" borderId="4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9" fillId="0" borderId="47" applyAlignment="1" pivotButton="0" quotePrefix="0" xfId="0">
      <alignment horizontal="left" vertical="center"/>
    </xf>
    <xf numFmtId="0" fontId="29" fillId="0" borderId="12" applyAlignment="1" pivotButton="0" quotePrefix="0" xfId="0">
      <alignment horizontal="left" vertical="center"/>
    </xf>
    <xf numFmtId="0" fontId="31" fillId="20" borderId="17" applyAlignment="1" pivotButton="0" quotePrefix="0" xfId="0">
      <alignment horizontal="left" vertical="center"/>
    </xf>
    <xf numFmtId="0" fontId="31" fillId="20" borderId="26" applyAlignment="1" pivotButton="0" quotePrefix="0" xfId="0">
      <alignment horizontal="left" vertical="center"/>
    </xf>
    <xf numFmtId="10" fontId="30" fillId="21" borderId="21" applyAlignment="1" pivotButton="0" quotePrefix="0" xfId="0">
      <alignment horizontal="center" vertical="center"/>
    </xf>
    <xf numFmtId="10" fontId="30" fillId="21" borderId="22" applyAlignment="1" pivotButton="0" quotePrefix="0" xfId="0">
      <alignment horizontal="center" vertical="center"/>
    </xf>
    <xf numFmtId="10" fontId="30" fillId="21" borderId="23" applyAlignment="1" pivotButton="0" quotePrefix="0" xfId="0">
      <alignment horizontal="center" vertical="center"/>
    </xf>
    <xf numFmtId="166" fontId="32" fillId="0" borderId="30" applyAlignment="1" pivotButton="0" quotePrefix="0" xfId="49">
      <alignment horizontal="left" vertical="center" wrapText="1"/>
    </xf>
    <xf numFmtId="166" fontId="32" fillId="0" borderId="31" applyAlignment="1" pivotButton="0" quotePrefix="0" xfId="49">
      <alignment horizontal="left" vertical="center"/>
    </xf>
    <xf numFmtId="166" fontId="32" fillId="0" borderId="32" applyAlignment="1" pivotButton="0" quotePrefix="0" xfId="49">
      <alignment horizontal="left" vertical="center"/>
    </xf>
    <xf numFmtId="0" fontId="32" fillId="0" borderId="35" applyAlignment="1" pivotButton="0" quotePrefix="0" xfId="0">
      <alignment horizontal="left" vertical="center" wrapText="1"/>
    </xf>
    <xf numFmtId="0" fontId="32" fillId="0" borderId="33" applyAlignment="1" pivotButton="0" quotePrefix="0" xfId="0">
      <alignment horizontal="left" vertical="center"/>
    </xf>
    <xf numFmtId="0" fontId="32" fillId="0" borderId="36" applyAlignment="1" pivotButton="0" quotePrefix="0" xfId="0">
      <alignment horizontal="left" vertical="center"/>
    </xf>
    <xf numFmtId="0" fontId="32" fillId="0" borderId="33" applyAlignment="1" pivotButton="0" quotePrefix="0" xfId="0">
      <alignment horizontal="left" vertical="center" wrapText="1"/>
    </xf>
    <xf numFmtId="0" fontId="32" fillId="0" borderId="36" applyAlignment="1" pivotButton="0" quotePrefix="0" xfId="0">
      <alignment horizontal="left" vertical="center" wrapText="1"/>
    </xf>
    <xf numFmtId="0" fontId="29" fillId="0" borderId="49" applyAlignment="1" pivotButton="0" quotePrefix="0" xfId="0">
      <alignment horizontal="left" vertical="center"/>
    </xf>
    <xf numFmtId="0" fontId="29" fillId="0" borderId="13" applyAlignment="1" pivotButton="0" quotePrefix="0" xfId="0">
      <alignment horizontal="left" vertical="center"/>
    </xf>
    <xf numFmtId="0" fontId="29" fillId="0" borderId="50" applyAlignment="1" pivotButton="0" quotePrefix="0" xfId="0">
      <alignment horizontal="left" vertical="center"/>
    </xf>
    <xf numFmtId="0" fontId="29" fillId="0" borderId="14" applyAlignment="1" pivotButton="0" quotePrefix="0" xfId="0">
      <alignment horizontal="left" vertical="center"/>
    </xf>
    <xf numFmtId="0" fontId="29" fillId="0" borderId="51" applyAlignment="1" pivotButton="0" quotePrefix="0" xfId="47">
      <alignment vertical="center"/>
    </xf>
    <xf numFmtId="0" fontId="29" fillId="0" borderId="16" applyAlignment="1" pivotButton="0" quotePrefix="0" xfId="47">
      <alignment vertical="center"/>
    </xf>
    <xf numFmtId="0" fontId="29" fillId="0" borderId="16" pivotButton="0" quotePrefix="0" xfId="0"/>
    <xf numFmtId="0" fontId="29" fillId="0" borderId="52" pivotButton="0" quotePrefix="0" xfId="0"/>
    <xf numFmtId="0" fontId="35" fillId="0" borderId="53" applyAlignment="1" pivotButton="0" quotePrefix="0" xfId="47">
      <alignment vertical="center"/>
    </xf>
    <xf numFmtId="0" fontId="35" fillId="0" borderId="17" applyAlignment="1" pivotButton="0" quotePrefix="0" xfId="47">
      <alignment vertical="center"/>
    </xf>
    <xf numFmtId="0" fontId="29" fillId="0" borderId="19" applyAlignment="1" pivotButton="0" quotePrefix="0" xfId="0">
      <alignment horizontal="left"/>
    </xf>
    <xf numFmtId="0" fontId="29" fillId="0" borderId="54" applyAlignment="1" pivotButton="0" quotePrefix="0" xfId="0">
      <alignment horizontal="left"/>
    </xf>
    <xf numFmtId="0" fontId="35" fillId="0" borderId="55" pivotButton="0" quotePrefix="0" xfId="47"/>
    <xf numFmtId="0" fontId="35" fillId="0" borderId="18" pivotButton="0" quotePrefix="0" xfId="47"/>
    <xf numFmtId="0" fontId="29" fillId="0" borderId="18" applyAlignment="1" pivotButton="0" quotePrefix="0" xfId="0">
      <alignment horizontal="left"/>
    </xf>
    <xf numFmtId="0" fontId="29" fillId="0" borderId="56" applyAlignment="1" pivotButton="0" quotePrefix="0" xfId="0">
      <alignment horizontal="left"/>
    </xf>
    <xf numFmtId="0" fontId="29" fillId="0" borderId="47" applyAlignment="1" pivotButton="0" quotePrefix="0" xfId="0">
      <alignment horizontal="left" vertical="center"/>
    </xf>
    <xf numFmtId="0" fontId="29" fillId="0" borderId="12" applyAlignment="1" pivotButton="0" quotePrefix="0" xfId="0">
      <alignment horizontal="left" vertical="center"/>
    </xf>
    <xf numFmtId="0" fontId="29" fillId="0" borderId="20" applyAlignment="1" pivotButton="0" quotePrefix="0" xfId="0">
      <alignment horizontal="left"/>
    </xf>
    <xf numFmtId="0" fontId="29" fillId="0" borderId="48" applyAlignment="1" pivotButton="0" quotePrefix="0" xfId="0">
      <alignment horizontal="left"/>
    </xf>
    <xf numFmtId="0" fontId="28" fillId="0" borderId="41" applyAlignment="1" pivotButton="0" quotePrefix="0" xfId="0">
      <alignment horizontal="right"/>
    </xf>
    <xf numFmtId="0" fontId="28" fillId="0" borderId="42" applyAlignment="1" pivotButton="0" quotePrefix="0" xfId="0">
      <alignment horizontal="right"/>
    </xf>
    <xf numFmtId="0" fontId="30" fillId="21" borderId="27" pivotButton="0" quotePrefix="0" xfId="0"/>
    <xf numFmtId="0" fontId="30" fillId="21" borderId="0" pivotButton="0" quotePrefix="0" xfId="0"/>
    <xf numFmtId="0" fontId="30" fillId="21" borderId="28" pivotButton="0" quotePrefix="0" xfId="0"/>
    <xf numFmtId="0" fontId="37" fillId="0" borderId="43" applyAlignment="1" pivotButton="0" quotePrefix="0" xfId="0">
      <alignment horizontal="right"/>
    </xf>
    <xf numFmtId="0" fontId="37" fillId="0" borderId="44" applyAlignment="1" pivotButton="0" quotePrefix="0" xfId="0">
      <alignment horizontal="right"/>
    </xf>
    <xf numFmtId="0" fontId="30" fillId="21" borderId="27" applyAlignment="1" pivotButton="0" quotePrefix="0" xfId="0">
      <alignment horizontal="left" vertical="center"/>
    </xf>
    <xf numFmtId="0" fontId="30" fillId="21" borderId="0" applyAlignment="1" pivotButton="0" quotePrefix="0" xfId="0">
      <alignment horizontal="left" vertical="center"/>
    </xf>
    <xf numFmtId="167" fontId="29" fillId="0" borderId="17" applyAlignment="1" pivotButton="0" quotePrefix="0" xfId="0">
      <alignment horizontal="left" vertical="center"/>
    </xf>
    <xf numFmtId="167" fontId="29" fillId="0" borderId="45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0" fontId="29" fillId="0" borderId="26" applyAlignment="1" pivotButton="0" quotePrefix="0" xfId="0">
      <alignment horizontal="left" vertical="center"/>
    </xf>
    <xf numFmtId="0" fontId="29" fillId="0" borderId="46" applyAlignment="1" pivotButton="0" quotePrefix="0" xfId="0">
      <alignment horizontal="left" vertical="center"/>
    </xf>
    <xf numFmtId="0" fontId="29" fillId="0" borderId="41" applyAlignment="1" pivotButton="0" quotePrefix="0" xfId="0">
      <alignment horizontal="left" wrapText="1"/>
    </xf>
    <xf numFmtId="0" fontId="29" fillId="0" borderId="42" applyAlignment="1" pivotButton="0" quotePrefix="0" xfId="0">
      <alignment horizontal="left" wrapText="1"/>
    </xf>
    <xf numFmtId="0" fontId="29" fillId="0" borderId="68" applyAlignment="1" pivotButton="0" quotePrefix="0" xfId="0">
      <alignment horizontal="left" wrapText="1"/>
    </xf>
    <xf numFmtId="0" fontId="29" fillId="0" borderId="27" applyAlignment="1" pivotButton="0" quotePrefix="0" xfId="0">
      <alignment horizontal="left" wrapText="1"/>
    </xf>
    <xf numFmtId="0" fontId="29" fillId="0" borderId="0" applyAlignment="1" pivotButton="0" quotePrefix="0" xfId="0">
      <alignment horizontal="left" wrapText="1"/>
    </xf>
    <xf numFmtId="0" fontId="29" fillId="0" borderId="28" applyAlignment="1" pivotButton="0" quotePrefix="0" xfId="0">
      <alignment horizontal="left" wrapText="1"/>
    </xf>
    <xf numFmtId="0" fontId="29" fillId="0" borderId="62" applyAlignment="1" pivotButton="0" quotePrefix="0" xfId="0">
      <alignment horizontal="left" wrapText="1"/>
    </xf>
    <xf numFmtId="0" fontId="29" fillId="0" borderId="63" applyAlignment="1" pivotButton="0" quotePrefix="0" xfId="0">
      <alignment horizontal="left" wrapText="1"/>
    </xf>
    <xf numFmtId="0" fontId="29" fillId="0" borderId="64" applyAlignment="1" pivotButton="0" quotePrefix="0" xfId="0">
      <alignment horizontal="left" wrapText="1"/>
    </xf>
    <xf numFmtId="0" fontId="29" fillId="21" borderId="62" applyAlignment="1" pivotButton="0" quotePrefix="0" xfId="0">
      <alignment horizontal="left" vertical="top" wrapText="1"/>
    </xf>
    <xf numFmtId="0" fontId="29" fillId="21" borderId="63" applyAlignment="1" pivotButton="0" quotePrefix="0" xfId="0">
      <alignment horizontal="left" vertical="top" wrapText="1"/>
    </xf>
    <xf numFmtId="0" fontId="29" fillId="21" borderId="64" applyAlignment="1" pivotButton="0" quotePrefix="0" xfId="0">
      <alignment horizontal="left" vertical="top" wrapText="1"/>
    </xf>
    <xf numFmtId="0" fontId="32" fillId="0" borderId="30" applyAlignment="1" pivotButton="0" quotePrefix="0" xfId="0">
      <alignment horizontal="left" vertical="center" wrapText="1"/>
    </xf>
    <xf numFmtId="0" fontId="32" fillId="0" borderId="31" applyAlignment="1" pivotButton="0" quotePrefix="0" xfId="0">
      <alignment horizontal="left" vertical="center"/>
    </xf>
    <xf numFmtId="0" fontId="32" fillId="0" borderId="32" applyAlignment="1" pivotButton="0" quotePrefix="0" xfId="0">
      <alignment horizontal="left" vertical="center"/>
    </xf>
    <xf numFmtId="168" fontId="31" fillId="0" borderId="10" applyAlignment="1" pivotButton="0" quotePrefix="0" xfId="47">
      <alignment horizontal="center" vertical="center"/>
    </xf>
    <xf numFmtId="168" fontId="31" fillId="0" borderId="11" applyAlignment="1" pivotButton="0" quotePrefix="0" xfId="47">
      <alignment horizontal="center" vertical="center"/>
    </xf>
    <xf numFmtId="0" fontId="39" fillId="0" borderId="25" applyAlignment="1" pivotButton="0" quotePrefix="0" xfId="0">
      <alignment horizontal="center" vertical="center"/>
    </xf>
    <xf numFmtId="0" fontId="39" fillId="0" borderId="61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39" fillId="0" borderId="28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top"/>
    </xf>
    <xf numFmtId="0" fontId="29" fillId="0" borderId="28" applyAlignment="1" pivotButton="0" quotePrefix="0" xfId="0">
      <alignment horizontal="center" vertical="top"/>
    </xf>
    <xf numFmtId="0" fontId="31" fillId="22" borderId="65" applyAlignment="1" pivotButton="0" quotePrefix="0" xfId="0">
      <alignment horizontal="center" vertical="center"/>
    </xf>
    <xf numFmtId="0" fontId="31" fillId="0" borderId="10" applyAlignment="1" pivotButton="0" quotePrefix="0" xfId="47">
      <alignment horizontal="center" vertical="center"/>
    </xf>
    <xf numFmtId="0" fontId="31" fillId="0" borderId="15" applyAlignment="1" pivotButton="0" quotePrefix="0" xfId="47">
      <alignment horizontal="center" vertical="center"/>
    </xf>
    <xf numFmtId="0" fontId="31" fillId="0" borderId="11" applyAlignment="1" pivotButton="0" quotePrefix="0" xfId="47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167" fontId="29" fillId="0" borderId="4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45" pivotButton="0" quotePrefix="0" xfId="0"/>
    <xf numFmtId="0" fontId="0" fillId="0" borderId="26" pivotButton="0" quotePrefix="0" xfId="0"/>
    <xf numFmtId="0" fontId="0" fillId="0" borderId="46" pivotButton="0" quotePrefix="0" xfId="0"/>
    <xf numFmtId="0" fontId="0" fillId="0" borderId="12" pivotButton="0" quotePrefix="0" xfId="0"/>
    <xf numFmtId="0" fontId="0" fillId="0" borderId="20" pivotButton="0" quotePrefix="0" xfId="0"/>
    <xf numFmtId="0" fontId="0" fillId="0" borderId="4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8" pivotButton="0" quotePrefix="0" xfId="0"/>
    <xf numFmtId="0" fontId="0" fillId="0" borderId="16" pivotButton="0" quotePrefix="0" xfId="0"/>
    <xf numFmtId="0" fontId="0" fillId="0" borderId="52" pivotButton="0" quotePrefix="0" xfId="0"/>
    <xf numFmtId="0" fontId="0" fillId="0" borderId="19" pivotButton="0" quotePrefix="0" xfId="0"/>
    <xf numFmtId="0" fontId="0" fillId="0" borderId="54" pivotButton="0" quotePrefix="0" xfId="0"/>
    <xf numFmtId="0" fontId="0" fillId="0" borderId="18" pivotButton="0" quotePrefix="0" xfId="0"/>
    <xf numFmtId="0" fontId="0" fillId="0" borderId="56" pivotButton="0" quotePrefix="0" xfId="0"/>
    <xf numFmtId="10" fontId="30" fillId="21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66" fontId="32" fillId="0" borderId="74" applyAlignment="1" pivotButton="0" quotePrefix="0" xfId="49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165" fontId="29" fillId="0" borderId="29" applyAlignment="1" pivotButton="0" quotePrefix="0" xfId="0">
      <alignment horizontal="right" vertical="center"/>
    </xf>
    <xf numFmtId="165" fontId="29" fillId="0" borderId="29" applyAlignment="1" pivotButton="0" quotePrefix="0" xfId="0">
      <alignment vertical="center"/>
    </xf>
    <xf numFmtId="165" fontId="29" fillId="0" borderId="40" applyAlignment="1" pivotButton="0" quotePrefix="0" xfId="0">
      <alignment horizontal="right" vertical="center"/>
    </xf>
    <xf numFmtId="0" fontId="32" fillId="0" borderId="34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6" pivotButton="0" quotePrefix="0" xfId="0"/>
    <xf numFmtId="0" fontId="32" fillId="0" borderId="74" applyAlignment="1" pivotButton="0" quotePrefix="0" xfId="0">
      <alignment horizontal="left" vertical="center" wrapText="1"/>
    </xf>
    <xf numFmtId="0" fontId="31" fillId="0" borderId="65" applyAlignment="1" pivotButton="0" quotePrefix="0" xfId="47">
      <alignment horizontal="center" vertical="center"/>
    </xf>
    <xf numFmtId="0" fontId="0" fillId="0" borderId="15" pivotButton="0" quotePrefix="0" xfId="0"/>
    <xf numFmtId="0" fontId="0" fillId="0" borderId="11" pivotButton="0" quotePrefix="0" xfId="0"/>
    <xf numFmtId="168" fontId="31" fillId="0" borderId="65" applyAlignment="1" pivotButton="0" quotePrefix="0" xfId="47">
      <alignment horizontal="center" vertical="center"/>
    </xf>
    <xf numFmtId="164" fontId="31" fillId="0" borderId="60" applyAlignment="1" pivotButton="0" quotePrefix="0" xfId="47">
      <alignment vertical="center"/>
    </xf>
    <xf numFmtId="0" fontId="39" fillId="0" borderId="77" applyAlignment="1" pivotButton="0" quotePrefix="0" xfId="0">
      <alignment horizontal="center" vertical="center"/>
    </xf>
    <xf numFmtId="0" fontId="0" fillId="0" borderId="77" pivotButton="0" quotePrefix="0" xfId="0"/>
    <xf numFmtId="0" fontId="29" fillId="0" borderId="65" applyAlignment="1" pivotButton="0" quotePrefix="0" xfId="0">
      <alignment horizontal="left" wrapText="1"/>
    </xf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4" pivotButton="0" quotePrefix="0" xfId="0"/>
    <xf numFmtId="0" fontId="29" fillId="21" borderId="71" applyAlignment="1" pivotButton="0" quotePrefix="0" xfId="0">
      <alignment horizontal="left" vertical="top" wrapText="1"/>
    </xf>
  </cellXfs>
  <cellStyles count="50">
    <cellStyle name="표준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쉼표" xfId="28" builtinId="3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하이퍼링크" xfId="35" builtinId="8"/>
    <cellStyle name="Hyperlink_blank_1" xfId="36"/>
    <cellStyle name="Input" xfId="37"/>
    <cellStyle name="Linked Cell" xfId="38"/>
    <cellStyle name="Neutral" xfId="39"/>
    <cellStyle name="Normal 2" xfId="40"/>
    <cellStyle name="Normal_blank" xfId="41"/>
    <cellStyle name="Note" xfId="42"/>
    <cellStyle name="Output" xfId="43"/>
    <cellStyle name="Title" xfId="44"/>
    <cellStyle name="Total" xfId="45"/>
    <cellStyle name="Warning Text" xfId="46"/>
    <cellStyle name="표준 2" xfId="47"/>
    <cellStyle name="쉼표 2" xfId="48"/>
    <cellStyle name="쉼표 [0]" xfId="4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mimkee kim</author>
  </authors>
  <commentList>
    <comment ref="A11" authorId="0" shapeId="0">
      <text>
        <t xml:space="preserve">mimkee kim: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134327</colOff>
      <row>0</row>
      <rowOff>260513</rowOff>
    </from>
    <to>
      <col>2</col>
      <colOff>501450</colOff>
      <row>0</row>
      <rowOff>858879</rowOff>
    </to>
    <pic>
      <nvPicPr>
        <cNvPr id="3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4327" y="260513"/>
          <a:ext cx="2296546" cy="59836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834454</colOff>
      <row>2</row>
      <rowOff>89552</rowOff>
    </from>
    <to>
      <col>3</col>
      <colOff>394838</colOff>
      <row>4</row>
      <rowOff>134327</rowOff>
    </to>
    <pic>
      <nvPicPr>
        <cNvPr id="5" name="그림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763877" y="1583430"/>
          <a:ext cx="606506" cy="60650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tabSelected="1" topLeftCell="A7" zoomScale="156" zoomScaleNormal="156" workbookViewId="0">
      <selection activeCell="H24" sqref="H24:I24"/>
    </sheetView>
  </sheetViews>
  <sheetFormatPr baseColWidth="8" defaultColWidth="9.08203125" defaultRowHeight="15"/>
  <cols>
    <col width="19" customWidth="1" style="1" min="1" max="1"/>
    <col width="11.4140625" customWidth="1" style="1" min="2" max="2"/>
    <col width="16.5" customWidth="1" style="1" min="3" max="3"/>
    <col width="7" customWidth="1" style="1" min="4" max="4"/>
    <col width="2.6640625" customWidth="1" style="1" min="5" max="5"/>
    <col width="13.1640625" customWidth="1" style="1" min="6" max="6"/>
    <col width="9.4140625" customWidth="1" style="1" min="7" max="7"/>
    <col width="13.9140625" customWidth="1" style="1" min="8" max="8"/>
    <col width="15.9140625" customWidth="1" style="1" min="9" max="9"/>
    <col width="9.08203125" customWidth="1" style="1" min="10" max="16384"/>
  </cols>
  <sheetData>
    <row r="1" ht="95.5" customHeight="1">
      <c r="A1" s="74" t="n"/>
      <c r="B1" s="116" t="n"/>
      <c r="C1" s="116" t="n"/>
      <c r="D1" s="116" t="n"/>
      <c r="E1" s="16" t="n"/>
      <c r="F1" s="80" t="inlineStr">
        <is>
          <t xml:space="preserve">거 래 명 세 서  </t>
        </is>
      </c>
      <c r="G1" s="117" t="n"/>
      <c r="H1" s="117" t="n"/>
      <c r="I1" s="118" t="n"/>
    </row>
    <row r="2" ht="22" customHeight="1">
      <c r="A2" s="81" t="inlineStr">
        <is>
          <t>공급자 : 주식회사 벤치소프트    대표: 정혜란</t>
        </is>
      </c>
      <c r="F2" s="41" t="inlineStr">
        <is>
          <t>DATE:</t>
        </is>
      </c>
      <c r="G2" s="119" t="inlineStr">
        <is>
          <t>2026-08-27</t>
        </is>
      </c>
      <c r="H2" s="120" t="n"/>
      <c r="I2" s="121" t="n"/>
      <c r="K2" s="2" t="n"/>
    </row>
    <row r="3" ht="22" customHeight="1">
      <c r="A3" s="85" t="inlineStr">
        <is>
          <t xml:space="preserve">등록번호 : 122-86-39814     </t>
        </is>
      </c>
      <c r="D3" s="37" t="n"/>
      <c r="F3" s="42" t="inlineStr">
        <is>
          <t xml:space="preserve">문서번호 </t>
        </is>
      </c>
      <c r="G3" s="88" t="inlineStr">
        <is>
          <t>BN-INV-20260827-017</t>
        </is>
      </c>
      <c r="H3" s="122" t="n"/>
      <c r="I3" s="123" t="n"/>
      <c r="K3" s="3" t="n"/>
    </row>
    <row r="4" ht="22" customHeight="1">
      <c r="A4" s="70" t="inlineStr">
        <is>
          <t>주소 : 인천시 부평구 주부토로 236(갈산동)</t>
        </is>
      </c>
      <c r="B4" s="124" t="n"/>
      <c r="C4" s="124" t="n"/>
      <c r="D4" s="38" t="n"/>
      <c r="F4" s="4" t="inlineStr">
        <is>
          <t>※ REMARKS</t>
        </is>
      </c>
      <c r="G4" s="73" t="n"/>
      <c r="H4" s="125" t="n"/>
      <c r="I4" s="126" t="n"/>
    </row>
    <row r="5" ht="22" customHeight="1">
      <c r="A5" s="54" t="inlineStr">
        <is>
          <t xml:space="preserve">        인천테크노밸리 U1센터 A동 S907호.</t>
        </is>
      </c>
      <c r="B5" s="127" t="n"/>
      <c r="C5" s="127" t="n"/>
      <c r="D5" s="38" t="n"/>
      <c r="F5" s="5" t="n"/>
      <c r="G5" s="5" t="n"/>
      <c r="H5" s="5" t="n"/>
      <c r="I5" s="17" t="n"/>
    </row>
    <row r="6" ht="22" customHeight="1">
      <c r="A6" s="56" t="inlineStr">
        <is>
          <t>종목 : 제조업 / 도매 및 소매업 / 소프트웨어개발</t>
        </is>
      </c>
      <c r="B6" s="128" t="n"/>
      <c r="C6" s="128" t="n"/>
      <c r="D6" s="38" t="n"/>
      <c r="F6" s="5" t="n"/>
      <c r="G6" s="5" t="n"/>
      <c r="H6" s="5" t="n"/>
      <c r="I6" s="17" t="n"/>
    </row>
    <row r="7" ht="22" customHeight="1">
      <c r="A7" s="56" t="inlineStr">
        <is>
          <t>Phone : +82-70-7841-0310</t>
        </is>
      </c>
      <c r="B7" s="128" t="n"/>
      <c r="C7" s="128" t="n"/>
      <c r="D7" s="38" t="n"/>
      <c r="F7" s="5" t="n"/>
      <c r="G7" s="5" t="n"/>
      <c r="H7" s="5" t="n"/>
      <c r="I7" s="17" t="n"/>
    </row>
    <row r="8" ht="22" customHeight="1">
      <c r="A8" s="70" t="inlineStr">
        <is>
          <t>Email  : info@bench-soft.com</t>
        </is>
      </c>
      <c r="B8" s="71" t="n"/>
      <c r="C8" s="71" t="n"/>
      <c r="D8" s="38" t="n"/>
      <c r="I8" s="19" t="n"/>
    </row>
    <row r="9" ht="5.05" customHeight="1">
      <c r="A9" s="18" t="n"/>
      <c r="I9" s="19" t="n"/>
    </row>
    <row r="10" ht="22" customHeight="1">
      <c r="A10" s="76" t="inlineStr">
        <is>
          <t>고객</t>
        </is>
      </c>
      <c r="E10" s="6" t="n"/>
      <c r="F10" s="78" t="inlineStr"/>
      <c r="I10" s="129" t="n"/>
    </row>
    <row r="11" ht="22" customHeight="1">
      <c r="A11" s="58" t="inlineStr">
        <is>
          <t>JS홀딩스</t>
        </is>
      </c>
      <c r="B11" s="130" t="n"/>
      <c r="C11" s="130" t="n"/>
      <c r="D11" s="130" t="n"/>
      <c r="F11" s="61" t="n"/>
      <c r="G11" s="130" t="n"/>
      <c r="H11" s="130" t="n"/>
      <c r="I11" s="131" t="n"/>
    </row>
    <row r="12" ht="22" customHeight="1">
      <c r="A12" s="62" t="inlineStr">
        <is>
          <t>인천광역시 갈산구 주부토로 370</t>
        </is>
      </c>
      <c r="B12" s="120" t="n"/>
      <c r="C12" s="120" t="n"/>
      <c r="D12" s="120" t="n"/>
      <c r="F12" s="65" t="n"/>
      <c r="G12" s="132" t="n"/>
      <c r="H12" s="132" t="n"/>
      <c r="I12" s="133" t="n"/>
    </row>
    <row r="13" ht="22" customHeight="1">
      <c r="A13" s="66" t="n"/>
      <c r="B13" s="134" t="n"/>
      <c r="C13" s="134" t="n"/>
      <c r="D13" s="134" t="n"/>
      <c r="F13" s="69" t="n"/>
      <c r="G13" s="134" t="n"/>
      <c r="H13" s="134" t="n"/>
      <c r="I13" s="135" t="n"/>
    </row>
    <row r="14" ht="33.55" customHeight="1">
      <c r="A14" s="33" t="inlineStr">
        <is>
          <t>아래와 같이 납품합니다.</t>
        </is>
      </c>
      <c r="I14" s="20" t="n"/>
    </row>
    <row r="15">
      <c r="A15" s="21" t="inlineStr">
        <is>
          <t>ITEM #</t>
        </is>
      </c>
      <c r="B15" s="136" t="inlineStr">
        <is>
          <t>DESCRIPTION OF GOODS</t>
        </is>
      </c>
      <c r="C15" s="137" t="n"/>
      <c r="D15" s="137" t="n"/>
      <c r="E15" s="137" t="n"/>
      <c r="F15" s="138" t="n"/>
      <c r="G15" s="7" t="inlineStr">
        <is>
          <t>QTY</t>
        </is>
      </c>
      <c r="H15" s="8" t="inlineStr">
        <is>
          <t>UNIT PRICE</t>
        </is>
      </c>
      <c r="I15" s="22" t="inlineStr">
        <is>
          <t>AMOUNT</t>
        </is>
      </c>
    </row>
    <row r="16" ht="30" customHeight="1">
      <c r="A16" s="23" t="inlineStr">
        <is>
          <t>TN512</t>
        </is>
      </c>
      <c r="B16" s="139" t="inlineStr">
        <is>
          <t>휴대폰 충전기 세트</t>
        </is>
      </c>
      <c r="C16" s="140" t="n"/>
      <c r="D16" s="140" t="n"/>
      <c r="E16" s="140" t="n"/>
      <c r="F16" s="141" t="n"/>
      <c r="G16" s="9" t="n">
        <v>20000</v>
      </c>
      <c r="H16" s="142" t="n">
        <v>18000</v>
      </c>
      <c r="I16" s="143">
        <f>G16*H16</f>
        <v/>
      </c>
    </row>
    <row r="17" ht="30" customHeight="1">
      <c r="A17" s="24" t="inlineStr">
        <is>
          <t>A20</t>
        </is>
      </c>
      <c r="B17" s="12" t="inlineStr">
        <is>
          <t>충전용 잭</t>
        </is>
      </c>
      <c r="C17" s="13" t="n"/>
      <c r="D17" s="13" t="n"/>
      <c r="E17" s="13" t="n"/>
      <c r="F17" s="14" t="n"/>
      <c r="G17" s="15" t="n">
        <v>20000</v>
      </c>
      <c r="H17" s="144" t="n">
        <v>1500</v>
      </c>
      <c r="I17" s="143">
        <f>G17*H17</f>
        <v/>
      </c>
    </row>
    <row r="18" ht="30" customHeight="1">
      <c r="A18" s="24" t="inlineStr"/>
      <c r="B18" s="12" t="inlineStr"/>
      <c r="C18" s="13" t="n"/>
      <c r="D18" s="13" t="n"/>
      <c r="E18" s="13" t="n"/>
      <c r="F18" s="14" t="n"/>
      <c r="G18" s="15" t="n"/>
      <c r="H18" s="144" t="n"/>
      <c r="I18" s="143">
        <f>G18*H18</f>
        <v/>
      </c>
    </row>
    <row r="19" ht="30" customHeight="1">
      <c r="A19" s="24" t="inlineStr"/>
      <c r="B19" s="12" t="inlineStr"/>
      <c r="C19" s="13" t="n"/>
      <c r="D19" s="13" t="n"/>
      <c r="E19" s="13" t="n"/>
      <c r="F19" s="14" t="n"/>
      <c r="G19" s="15" t="n"/>
      <c r="H19" s="144" t="n"/>
      <c r="I19" s="143">
        <f>G19*H19</f>
        <v/>
      </c>
    </row>
    <row r="20" ht="30" customHeight="1">
      <c r="A20" s="25" t="inlineStr"/>
      <c r="B20" s="145" t="inlineStr"/>
      <c r="C20" s="146" t="n"/>
      <c r="D20" s="146" t="n"/>
      <c r="E20" s="146" t="n"/>
      <c r="F20" s="147" t="n"/>
      <c r="G20" s="10" t="n"/>
      <c r="H20" s="144" t="n"/>
      <c r="I20" s="143">
        <f>G20*H20</f>
        <v/>
      </c>
    </row>
    <row r="21" ht="30" customHeight="1">
      <c r="A21" s="25" t="inlineStr"/>
      <c r="B21" s="53" t="inlineStr"/>
      <c r="C21" s="146" t="n"/>
      <c r="D21" s="146" t="n"/>
      <c r="E21" s="146" t="n"/>
      <c r="F21" s="147" t="n"/>
      <c r="G21" s="10" t="n"/>
      <c r="H21" s="144" t="n"/>
      <c r="I21" s="143">
        <f>G21*H21</f>
        <v/>
      </c>
    </row>
    <row r="22" ht="30" customHeight="1">
      <c r="A22" s="23" t="inlineStr"/>
      <c r="B22" s="148" t="inlineStr"/>
      <c r="C22" s="140" t="n"/>
      <c r="D22" s="140" t="n"/>
      <c r="E22" s="140" t="n"/>
      <c r="F22" s="141" t="n"/>
      <c r="G22" s="9" t="n"/>
      <c r="H22" s="144" t="n"/>
      <c r="I22" s="143">
        <f>G22*H22</f>
        <v/>
      </c>
    </row>
    <row r="23" ht="30" customHeight="1">
      <c r="A23" s="25" t="inlineStr"/>
      <c r="B23" s="145" t="inlineStr"/>
      <c r="C23" s="146" t="n"/>
      <c r="D23" s="146" t="n"/>
      <c r="E23" s="146" t="n"/>
      <c r="F23" s="147" t="n"/>
      <c r="G23" s="10" t="n"/>
      <c r="H23" s="144" t="n"/>
      <c r="I23" s="143">
        <f>G23*H23</f>
        <v/>
      </c>
    </row>
    <row r="24" ht="19.5" customHeight="1">
      <c r="A24" s="149" t="inlineStr">
        <is>
          <t>TOTAL</t>
        </is>
      </c>
      <c r="B24" s="150" t="n"/>
      <c r="C24" s="150" t="n"/>
      <c r="D24" s="150" t="n"/>
      <c r="E24" s="150" t="n"/>
      <c r="F24" s="150" t="n"/>
      <c r="G24" s="151" t="n"/>
      <c r="H24" s="152">
        <f>SUM(I16:I23)</f>
        <v/>
      </c>
      <c r="I24" s="151" t="n"/>
    </row>
    <row r="25" ht="15" customHeight="1">
      <c r="A25" s="29" t="n"/>
      <c r="B25" s="30" t="n"/>
      <c r="C25" s="30" t="n"/>
      <c r="D25" s="31" t="n"/>
      <c r="E25" s="31" t="n"/>
      <c r="F25" s="32" t="n"/>
      <c r="G25" s="27" t="n"/>
      <c r="H25" s="26" t="n"/>
      <c r="I25" s="153" t="n"/>
    </row>
    <row r="26" ht="15" customHeight="1">
      <c r="A26" s="112" t="inlineStr">
        <is>
          <t>BANK ACCOUNT</t>
        </is>
      </c>
      <c r="B26" s="150" t="n"/>
      <c r="C26" s="150" t="n"/>
      <c r="D26" s="150" t="n"/>
      <c r="E26" s="150" t="n"/>
      <c r="F26" s="151" t="n"/>
      <c r="H26" s="154" t="inlineStr">
        <is>
          <t>서명하세요</t>
        </is>
      </c>
      <c r="I26" s="155" t="n"/>
    </row>
    <row r="27" ht="15" customHeight="1">
      <c r="A27" s="156" t="inlineStr">
        <is>
          <t xml:space="preserve">계좌번호 : 434-100784-01-012
은 행 명  : 기업은행
예 금 주  : 주식회사 벤치소프트
</t>
        </is>
      </c>
      <c r="B27" s="116" t="n"/>
      <c r="C27" s="116" t="n"/>
      <c r="D27" s="116" t="n"/>
      <c r="E27" s="116" t="n"/>
      <c r="F27" s="157" t="n"/>
      <c r="I27" s="129" t="n"/>
    </row>
    <row r="28" ht="15" customHeight="1">
      <c r="A28" s="158" t="n"/>
      <c r="F28" s="159" t="n"/>
      <c r="I28" s="129" t="n"/>
    </row>
    <row r="29" ht="15" customHeight="1">
      <c r="A29" s="158" t="n"/>
      <c r="F29" s="159" t="n"/>
      <c r="I29" s="129" t="n"/>
    </row>
    <row r="30" ht="15" customHeight="1">
      <c r="A30" s="158" t="n"/>
      <c r="F30" s="159" t="n"/>
      <c r="I30" s="129" t="n"/>
    </row>
    <row r="31" ht="15.75" customHeight="1">
      <c r="A31" s="160" t="n"/>
      <c r="B31" s="161" t="n"/>
      <c r="C31" s="161" t="n"/>
      <c r="D31" s="161" t="n"/>
      <c r="E31" s="161" t="n"/>
      <c r="F31" s="162" t="n"/>
      <c r="H31" s="111" t="n"/>
      <c r="I31" s="129" t="n"/>
    </row>
    <row r="32" ht="11.25" customHeight="1">
      <c r="A32" s="18" t="n"/>
      <c r="I32" s="19" t="n"/>
    </row>
    <row r="33" ht="6" customHeight="1">
      <c r="A33" s="163" t="n"/>
      <c r="B33" s="161" t="n"/>
      <c r="C33" s="161" t="n"/>
      <c r="D33" s="161" t="n"/>
      <c r="E33" s="161" t="n"/>
      <c r="F33" s="161" t="n"/>
      <c r="G33" s="161" t="n"/>
      <c r="H33" s="161" t="n"/>
      <c r="I33" s="162" t="n"/>
    </row>
    <row r="34" ht="1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</sheetData>
  <mergeCells count="32">
    <mergeCell ref="F13:I13"/>
    <mergeCell ref="B16:F16"/>
    <mergeCell ref="A3:C3"/>
    <mergeCell ref="G3:I3"/>
    <mergeCell ref="B22:F22"/>
    <mergeCell ref="H31:I31"/>
    <mergeCell ref="A26:F26"/>
    <mergeCell ref="A10:D10"/>
    <mergeCell ref="A27:F31"/>
    <mergeCell ref="H26:I30"/>
    <mergeCell ref="A13:D13"/>
    <mergeCell ref="B21:F21"/>
    <mergeCell ref="A33:I33"/>
    <mergeCell ref="F1:I1"/>
    <mergeCell ref="A5:C5"/>
    <mergeCell ref="F11:I11"/>
    <mergeCell ref="A24:G24"/>
    <mergeCell ref="G4:I4"/>
    <mergeCell ref="B23:F23"/>
    <mergeCell ref="A11:D11"/>
    <mergeCell ref="A4:C4"/>
    <mergeCell ref="F10:I10"/>
    <mergeCell ref="A1:D1"/>
    <mergeCell ref="F12:I12"/>
    <mergeCell ref="G2:I2"/>
    <mergeCell ref="B20:F20"/>
    <mergeCell ref="B15:F15"/>
    <mergeCell ref="H24:I24"/>
    <mergeCell ref="A12:D12"/>
    <mergeCell ref="A6:C6"/>
    <mergeCell ref="A2:D2"/>
    <mergeCell ref="A7:C7"/>
  </mergeCells>
  <printOptions horizontalCentered="1"/>
  <pageMargins left="0.5" right="0.47" top="0.5" bottom="0.5" header="0.25" footer="0.25"/>
  <pageSetup orientation="portrait" paperSize="9" scale="91" fitToHeight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dantekim@naver.com</dc:creator>
  <dc:title>proforma invoice</dc:title>
  <dc:description>(c) 2008-2011 Vertex42 LLC. All Rights Reserved.</dc:description>
  <dcterms:created xsi:type="dcterms:W3CDTF">2009-04-10T15:20:03Z</dcterms:created>
  <dcterms:modified xsi:type="dcterms:W3CDTF">2026-08-27T05:54:17Z</dcterms:modified>
  <cp:lastModifiedBy>Yurir011</cp:lastModifiedBy>
  <cp:lastPrinted>2022-04-25T07:03:17Z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2008-2011 Vertex42 LLC</vt:lpwstr>
  </property>
  <property name="Version" fmtid="{D5CDD505-2E9C-101B-9397-08002B2CF9AE}" pid="3">
    <vt:lpwstr>1.1.1</vt:lpwstr>
  </property>
</Properties>
</file>